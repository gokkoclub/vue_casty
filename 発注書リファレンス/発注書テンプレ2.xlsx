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kubari-ryusei/テンプレート/"/>
    </mc:Choice>
  </mc:AlternateContent>
  <xr:revisionPtr revIDLastSave="0" documentId="13_ncr:1_{BAA68027-836A-D641-BDB0-607F483F597A}" xr6:coauthVersionLast="47" xr6:coauthVersionMax="47" xr10:uidLastSave="{00000000-0000-0000-0000-000000000000}"/>
  <bookViews>
    <workbookView xWindow="0" yWindow="500" windowWidth="28800" windowHeight="17500" xr2:uid="{F391113B-EBCA-D94C-AAF4-C141222BA466}"/>
  </bookViews>
  <sheets>
    <sheet name="発注書" sheetId="1" r:id="rId1"/>
    <sheet name="注意事項" sheetId="2" r:id="rId2"/>
  </sheets>
  <definedNames>
    <definedName name="_xlnm.Print_Area" localSheetId="0">発注書!$A$1:$U$46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 a="1"/>
  <c r="P22" i="1" s="1"/>
  <c r="Q22" i="1"/>
  <c r="Q21" i="1"/>
  <c r="Q20" i="1"/>
  <c r="P20" i="1" a="1"/>
  <c r="P20" i="1" s="1"/>
  <c r="P21" i="1" a="1"/>
  <c r="P21" i="1" s="1"/>
  <c r="P23" i="1" a="1"/>
  <c r="P23" i="1" s="1"/>
  <c r="P24" i="1" a="1"/>
  <c r="P24" i="1" s="1"/>
  <c r="P25" i="1" a="1"/>
  <c r="P25" i="1" s="1"/>
  <c r="P26" i="1" a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Q23" i="1"/>
  <c r="Q24" i="1"/>
  <c r="Q25" i="1"/>
  <c r="Q26" i="1"/>
  <c r="Q27" i="1"/>
  <c r="Q28" i="1"/>
  <c r="Q29" i="1"/>
  <c r="Q30" i="1"/>
  <c r="Q31" i="1"/>
  <c r="Q32" i="1"/>
  <c r="Q33" i="1"/>
  <c r="Q34" i="1"/>
  <c r="P26" i="1"/>
  <c r="F38" i="1" l="1"/>
  <c r="D38" i="1" s="1"/>
  <c r="F37" i="1"/>
  <c r="Q35" i="1" l="1"/>
  <c r="D37" i="1"/>
  <c r="Q36" i="1" s="1"/>
  <c r="Q37" i="1" l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<sst xmlns="http://schemas.openxmlformats.org/spreadsheetml/2006/main" count="44" uniqueCount="42">
  <si>
    <t>〇〇〇〇株式会社 御中</t>
    <rPh sb="9" eb="11">
      <t>オンチュウ</t>
    </rPh>
    <phoneticPr fontId="1"/>
  </si>
  <si>
    <t>●●●●株式会社</t>
    <phoneticPr fontId="1"/>
  </si>
  <si>
    <t>住所：</t>
    <rPh sb="0" eb="2">
      <t>ジュウショ</t>
    </rPh>
    <phoneticPr fontId="1"/>
  </si>
  <si>
    <t>電話：</t>
    <rPh sb="0" eb="2">
      <t>デンワ</t>
    </rPh>
    <phoneticPr fontId="1"/>
  </si>
  <si>
    <t>00-0000-0000</t>
    <phoneticPr fontId="1"/>
  </si>
  <si>
    <t>※</t>
    <phoneticPr fontId="1"/>
  </si>
  <si>
    <t>内容</t>
    <rPh sb="0" eb="2">
      <t>ナイヨウ</t>
    </rPh>
    <phoneticPr fontId="1"/>
  </si>
  <si>
    <t>消費税</t>
    <rPh sb="0" eb="3">
      <t>ショウヒゼイ</t>
    </rPh>
    <phoneticPr fontId="1"/>
  </si>
  <si>
    <t>税率</t>
    <rPh sb="0" eb="2">
      <t>ゼイリ</t>
    </rPh>
    <phoneticPr fontId="1"/>
  </si>
  <si>
    <t>単価（税抜）</t>
    <rPh sb="0" eb="2">
      <t>タンカ</t>
    </rPh>
    <rPh sb="3" eb="5">
      <t>ゼイヌキ</t>
    </rPh>
    <phoneticPr fontId="1"/>
  </si>
  <si>
    <t>単位</t>
    <rPh sb="0" eb="2">
      <t>タンイ</t>
    </rPh>
    <phoneticPr fontId="1"/>
  </si>
  <si>
    <t>数量</t>
    <rPh sb="0" eb="2">
      <t>スウ</t>
    </rPh>
    <phoneticPr fontId="1"/>
  </si>
  <si>
    <t>▲▲▲▲</t>
    <phoneticPr fontId="1"/>
  </si>
  <si>
    <t>△△△△</t>
    <phoneticPr fontId="1"/>
  </si>
  <si>
    <t>個</t>
    <rPh sb="0" eb="1">
      <t xml:space="preserve">コ </t>
    </rPh>
    <phoneticPr fontId="1"/>
  </si>
  <si>
    <t>式</t>
    <rPh sb="0" eb="1">
      <t>シキ</t>
    </rPh>
    <phoneticPr fontId="1"/>
  </si>
  <si>
    <t>小計</t>
    <rPh sb="0" eb="2">
      <t>ショウケイ</t>
    </rPh>
    <phoneticPr fontId="1"/>
  </si>
  <si>
    <t>税率区分</t>
    <rPh sb="0" eb="2">
      <t>ゼイリ</t>
    </rPh>
    <rPh sb="2" eb="4">
      <t>クブn</t>
    </rPh>
    <phoneticPr fontId="1"/>
  </si>
  <si>
    <t>10%対象</t>
    <rPh sb="3" eb="5">
      <t>タイショ</t>
    </rPh>
    <phoneticPr fontId="1"/>
  </si>
  <si>
    <t>8%対象</t>
    <rPh sb="2" eb="4">
      <t>タイショ</t>
    </rPh>
    <phoneticPr fontId="1"/>
  </si>
  <si>
    <t>金額（税抜）</t>
    <rPh sb="0" eb="2">
      <t>キンガク</t>
    </rPh>
    <rPh sb="3" eb="5">
      <t>ゼイヌキ</t>
    </rPh>
    <phoneticPr fontId="1"/>
  </si>
  <si>
    <t>〒100-0000</t>
    <phoneticPr fontId="1"/>
  </si>
  <si>
    <t>備考</t>
    <rPh sb="0" eb="2">
      <t>ビコウ</t>
    </rPh>
    <phoneticPr fontId="1"/>
  </si>
  <si>
    <t>10％対象・8％対象の消費税は、算出時に小数点第一位を四捨五入しています。</t>
    <rPh sb="4" eb="6">
      <t>タイショウ</t>
    </rPh>
    <rPh sb="13" eb="15">
      <t>タイショウ</t>
    </rPh>
    <rPh sb="16" eb="19">
      <t>サンシュテゥ</t>
    </rPh>
    <rPh sb="20" eb="22">
      <t>ショウスウデ</t>
    </rPh>
    <rPh sb="22" eb="23">
      <t xml:space="preserve">テンイカ </t>
    </rPh>
    <rPh sb="23" eb="24">
      <t xml:space="preserve">ダイ </t>
    </rPh>
    <rPh sb="24" eb="25">
      <t xml:space="preserve">１ </t>
    </rPh>
    <rPh sb="27" eb="31">
      <t>シシャゴニュウ</t>
    </rPh>
    <phoneticPr fontId="1"/>
  </si>
  <si>
    <t>四捨五入について</t>
    <rPh sb="0" eb="4">
      <t>シシャゴニュウ</t>
    </rPh>
    <phoneticPr fontId="1"/>
  </si>
  <si>
    <t>▼注意事項</t>
    <rPh sb="1" eb="3">
      <t>チュウイジ</t>
    </rPh>
    <rPh sb="3" eb="5">
      <t>ジコウ</t>
    </rPh>
    <phoneticPr fontId="1"/>
  </si>
  <si>
    <t>※は軽減税率対象です。</t>
    <rPh sb="2" eb="6">
      <t>ケイゲンズ</t>
    </rPh>
    <rPh sb="6" eb="8">
      <t>タイショウ</t>
    </rPh>
    <phoneticPr fontId="1"/>
  </si>
  <si>
    <t>消費税</t>
    <rPh sb="0" eb="3">
      <t>ショウヒ</t>
    </rPh>
    <phoneticPr fontId="1"/>
  </si>
  <si>
    <t>合計</t>
    <rPh sb="0" eb="2">
      <t>ゴウケイ</t>
    </rPh>
    <phoneticPr fontId="1"/>
  </si>
  <si>
    <t>東京都千代田区0-1-2 ●●ビル 1F</t>
    <rPh sb="0" eb="3">
      <t>トウキョウ</t>
    </rPh>
    <rPh sb="3" eb="7">
      <t>チヨダ</t>
    </rPh>
    <phoneticPr fontId="1"/>
  </si>
  <si>
    <t>メール：</t>
    <phoneticPr fontId="1"/>
  </si>
  <si>
    <t>*****@******</t>
    <phoneticPr fontId="1"/>
  </si>
  <si>
    <t>東京都千代田区0-1-2 〇〇ビル 3F</t>
    <rPh sb="0" eb="3">
      <t>トウキョウ</t>
    </rPh>
    <rPh sb="3" eb="7">
      <t>チヨダ</t>
    </rPh>
    <phoneticPr fontId="1"/>
  </si>
  <si>
    <t>納期</t>
    <rPh sb="0" eb="2">
      <t>ノウキ</t>
    </rPh>
    <phoneticPr fontId="1"/>
  </si>
  <si>
    <t>見積番号</t>
    <rPh sb="0" eb="2">
      <t>ミツモリ</t>
    </rPh>
    <rPh sb="2" eb="4">
      <t>セイキュウバ</t>
    </rPh>
    <phoneticPr fontId="1"/>
  </si>
  <si>
    <t>合計金額（税込）</t>
    <rPh sb="0" eb="2">
      <t>ゴウケイ</t>
    </rPh>
    <rPh sb="5" eb="7">
      <t>ゼイ</t>
    </rPh>
    <phoneticPr fontId="1"/>
  </si>
  <si>
    <t>納品場所</t>
    <rPh sb="0" eb="4">
      <t>ノウヒn</t>
    </rPh>
    <phoneticPr fontId="1"/>
  </si>
  <si>
    <t>発注書</t>
    <rPh sb="0" eb="2">
      <t>ハッチュウ</t>
    </rPh>
    <rPh sb="2" eb="3">
      <t>ノウヒn</t>
    </rPh>
    <phoneticPr fontId="1"/>
  </si>
  <si>
    <t>発注日</t>
    <rPh sb="0" eb="3">
      <t>ハッチュウ</t>
    </rPh>
    <phoneticPr fontId="1"/>
  </si>
  <si>
    <t>下記の通り、発注いたします。</t>
    <rPh sb="0" eb="2">
      <t>カキ</t>
    </rPh>
    <rPh sb="6" eb="8">
      <t>ハッチュウ</t>
    </rPh>
    <phoneticPr fontId="1"/>
  </si>
  <si>
    <t>0000001</t>
    <phoneticPr fontId="1"/>
  </si>
  <si>
    <t>軽減税率</t>
    <rPh sb="0" eb="4">
      <t>ケイゲn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</si>
</sst>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9" formatCode="&quot;〒&quot;000\-0000"/>
  </numFmts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32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36"/>
      <color theme="0"/>
      <name val="ＭＳ Ｐゴシック"/>
      <family val="2"/>
      <charset val="128"/>
    </font>
    <font>
      <sz val="16"/>
      <color theme="0"/>
      <name val="ＭＳ Ｐゴシック"/>
      <family val="2"/>
      <charset val="128"/>
    </font>
    <font>
      <sz val="14"/>
      <color theme="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864F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6" fillId="0" borderId="1" xfId="0" applyFont="1" applyBorder="1" applyProtection="1">
      <alignment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Protection="1">
      <alignment vertical="center"/>
      <protection locked="0"/>
    </xf>
    <xf numFmtId="0" fontId="6" fillId="0" borderId="9" xfId="0" applyFont="1" applyBorder="1" applyProtection="1">
      <alignment vertical="center"/>
      <protection locked="0"/>
    </xf>
    <xf numFmtId="0" fontId="6" fillId="0" borderId="12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6" fontId="6" fillId="0" borderId="1" xfId="1" applyFont="1" applyBorder="1" applyAlignment="1" applyProtection="1">
      <alignment horizontal="right" vertical="center"/>
      <protection locked="0"/>
    </xf>
    <xf numFmtId="14" fontId="6" fillId="0" borderId="0" xfId="0" applyNumberFormat="1" applyFont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alignment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6" fontId="10" fillId="2" borderId="8" xfId="0" applyNumberFormat="1" applyFont="1" applyFill="1" applyBorder="1" applyAlignment="1" applyProtection="1">
      <alignment horizontal="center" vertical="center"/>
      <protection locked="0"/>
    </xf>
    <xf numFmtId="6" fontId="10" fillId="2" borderId="10" xfId="0" applyNumberFormat="1" applyFont="1" applyFill="1" applyBorder="1" applyAlignment="1" applyProtection="1">
      <alignment horizontal="center" vertical="center"/>
      <protection locked="0"/>
    </xf>
    <xf numFmtId="6" fontId="10" fillId="2" borderId="8" xfId="1" applyFont="1" applyFill="1" applyBorder="1" applyAlignment="1" applyProtection="1">
      <alignment horizontal="center" vertical="center"/>
      <protection locked="0"/>
    </xf>
    <xf numFmtId="6" fontId="10" fillId="2" borderId="10" xfId="1" applyFont="1" applyFill="1" applyBorder="1" applyAlignment="1" applyProtection="1">
      <alignment horizontal="center" vertical="center"/>
      <protection locked="0"/>
    </xf>
    <xf numFmtId="6" fontId="6" fillId="0" borderId="0" xfId="0" applyNumberFormat="1" applyFo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6" fontId="6" fillId="0" borderId="0" xfId="1" applyFont="1" applyBorder="1" applyAlignment="1" applyProtection="1">
      <alignment vertical="center"/>
      <protection locked="0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left" vertical="center"/>
      <protection locked="0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11" fillId="2" borderId="14" xfId="0" applyFont="1" applyFill="1" applyBorder="1" applyAlignment="1" applyProtection="1">
      <alignment horizontal="center" vertical="center"/>
      <protection locked="0"/>
    </xf>
    <xf numFmtId="9" fontId="6" fillId="0" borderId="1" xfId="2" applyFont="1" applyBorder="1" applyProtection="1">
      <alignment vertical="center"/>
    </xf>
    <xf numFmtId="6" fontId="6" fillId="0" borderId="8" xfId="1" applyFont="1" applyBorder="1" applyAlignment="1" applyProtection="1">
      <alignment horizontal="right" vertical="center"/>
    </xf>
    <xf numFmtId="6" fontId="6" fillId="0" borderId="10" xfId="1" applyFont="1" applyBorder="1" applyAlignment="1" applyProtection="1">
      <alignment horizontal="right" vertical="center"/>
    </xf>
    <xf numFmtId="6" fontId="6" fillId="0" borderId="1" xfId="1" applyFont="1" applyBorder="1" applyAlignment="1" applyProtection="1">
      <alignment horizontal="right" vertical="center"/>
    </xf>
    <xf numFmtId="6" fontId="6" fillId="0" borderId="8" xfId="0" applyNumberFormat="1" applyFont="1" applyBorder="1" applyProtection="1">
      <alignment vertical="center"/>
    </xf>
    <xf numFmtId="6" fontId="6" fillId="0" borderId="10" xfId="0" applyNumberFormat="1" applyFont="1" applyBorder="1" applyProtection="1">
      <alignment vertical="center"/>
    </xf>
    <xf numFmtId="6" fontId="6" fillId="0" borderId="8" xfId="1" applyFont="1" applyBorder="1" applyAlignment="1" applyProtection="1">
      <alignment vertical="center"/>
    </xf>
    <xf numFmtId="6" fontId="6" fillId="0" borderId="10" xfId="1" applyFont="1" applyBorder="1" applyAlignment="1" applyProtection="1">
      <alignment vertical="center"/>
    </xf>
    <xf numFmtId="6" fontId="6" fillId="0" borderId="1" xfId="0" applyNumberFormat="1" applyFont="1" applyBorder="1" applyProtection="1">
      <alignment vertical="center"/>
    </xf>
    <xf numFmtId="6" fontId="7" fillId="0" borderId="2" xfId="0" applyNumberFormat="1" applyFont="1" applyBorder="1" applyAlignment="1" applyProtection="1">
      <alignment horizontal="right" vertical="center"/>
    </xf>
    <xf numFmtId="6" fontId="7" fillId="0" borderId="3" xfId="0" applyNumberFormat="1" applyFont="1" applyBorder="1" applyAlignment="1" applyProtection="1">
      <alignment horizontal="right" vertical="center"/>
    </xf>
    <xf numFmtId="6" fontId="7" fillId="0" borderId="4" xfId="0" applyNumberFormat="1" applyFont="1" applyBorder="1" applyAlignment="1" applyProtection="1">
      <alignment horizontal="right" vertical="center"/>
    </xf>
    <xf numFmtId="6" fontId="7" fillId="0" borderId="5" xfId="0" applyNumberFormat="1" applyFont="1" applyBorder="1" applyAlignment="1" applyProtection="1">
      <alignment horizontal="right" vertical="center"/>
    </xf>
    <xf numFmtId="6" fontId="7" fillId="0" borderId="6" xfId="0" applyNumberFormat="1" applyFont="1" applyBorder="1" applyAlignment="1" applyProtection="1">
      <alignment horizontal="right" vertical="center"/>
    </xf>
    <xf numFmtId="6" fontId="7" fillId="0" borderId="7" xfId="0" applyNumberFormat="1" applyFont="1" applyBorder="1" applyAlignment="1" applyProtection="1">
      <alignment horizontal="right" vertical="center"/>
    </xf>
    <xf numFmtId="179" fontId="6" fillId="0" borderId="0" xfId="0" applyNumberFormat="1" applyFont="1" applyAlignment="1" applyProtection="1">
      <alignment horizontal="left" vertical="center"/>
      <protection locked="0"/>
    </xf>
    <xf numFmtId="0" fontId="3" fillId="3" borderId="0" xfId="0" applyFont="1" applyFill="1" applyProtection="1">
      <alignment vertical="center"/>
      <protection locked="0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2864F0"/>
      <color rgb="FFE9E7E7"/>
      <color rgb="FFF8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0707-76AA-BF4A-B2CA-0BB5FC6A2EF7}">
  <dimension ref="A1:U61"/>
  <sheetViews>
    <sheetView tabSelected="1" zoomScale="71" zoomScaleNormal="71" workbookViewId="0">
      <selection activeCell="V15" sqref="V15"/>
    </sheetView>
  </sheetViews>
  <sheetFormatPr baseColWidth="10" defaultColWidth="0" defaultRowHeight="17" zeroHeight="1"/>
  <cols>
    <col min="1" max="1" width="2" style="68" customWidth="1"/>
    <col min="2" max="2" width="10.42578125" style="68" customWidth="1"/>
    <col min="3" max="3" width="6" style="68" customWidth="1"/>
    <col min="4" max="9" width="8" style="68" customWidth="1"/>
    <col min="10" max="10" width="7.140625" style="68" customWidth="1"/>
    <col min="11" max="11" width="8.7109375" style="68" customWidth="1"/>
    <col min="12" max="13" width="8" style="68" customWidth="1"/>
    <col min="14" max="14" width="7" style="68" customWidth="1"/>
    <col min="15" max="15" width="8.85546875" style="68" customWidth="1"/>
    <col min="16" max="18" width="8" style="68" customWidth="1"/>
    <col min="19" max="20" width="8" style="68" hidden="1" customWidth="1"/>
    <col min="21" max="21" width="1.85546875" style="68" customWidth="1"/>
    <col min="22" max="29" width="10.7109375" style="68" customWidth="1"/>
    <col min="30" max="16384" width="10.7109375" style="68" hidden="1"/>
  </cols>
  <sheetData>
    <row r="1" spans="1:2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53" customHeight="1">
      <c r="A2" s="3"/>
      <c r="B2" s="25" t="s">
        <v>37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3"/>
      <c r="T2" s="3"/>
      <c r="U2" s="3"/>
    </row>
    <row r="3" spans="1:2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6" t="s">
        <v>38</v>
      </c>
      <c r="O4" s="26"/>
      <c r="P4" s="17">
        <v>44927</v>
      </c>
      <c r="Q4" s="17"/>
      <c r="R4" s="17"/>
      <c r="S4" s="3"/>
      <c r="T4" s="3"/>
      <c r="U4" s="3"/>
    </row>
    <row r="5" spans="1:21" ht="3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6" t="s">
        <v>34</v>
      </c>
      <c r="O5" s="26"/>
      <c r="P5" s="18" t="s">
        <v>40</v>
      </c>
      <c r="Q5" s="18"/>
      <c r="R5" s="18"/>
      <c r="S5" s="3"/>
      <c r="T5" s="3"/>
      <c r="U5" s="3"/>
    </row>
    <row r="6" spans="1:21" ht="31" customHeight="1">
      <c r="A6" s="3"/>
      <c r="B6" s="49" t="s">
        <v>0</v>
      </c>
      <c r="C6" s="49"/>
      <c r="D6" s="49"/>
      <c r="E6" s="49"/>
      <c r="F6" s="49"/>
      <c r="G6" s="49"/>
      <c r="H6" s="49"/>
      <c r="I6" s="49"/>
      <c r="J6" s="49"/>
      <c r="K6" s="3"/>
      <c r="L6" s="3"/>
      <c r="M6" s="3"/>
      <c r="N6" s="45"/>
      <c r="O6" s="45"/>
      <c r="P6" s="47"/>
      <c r="Q6" s="47"/>
      <c r="R6" s="47"/>
      <c r="S6" s="3"/>
      <c r="T6" s="3"/>
      <c r="U6" s="3"/>
    </row>
    <row r="7" spans="1:21" ht="22" customHeight="1">
      <c r="A7" s="3"/>
      <c r="B7" s="67" t="s">
        <v>21</v>
      </c>
      <c r="C7" s="67"/>
      <c r="D7" s="67"/>
      <c r="E7" s="67"/>
      <c r="F7" s="67"/>
      <c r="G7" s="67"/>
      <c r="H7" s="67"/>
      <c r="I7" s="67"/>
      <c r="J7" s="67"/>
      <c r="K7" s="3"/>
      <c r="L7" s="3"/>
      <c r="M7" s="3"/>
      <c r="N7" s="27"/>
      <c r="O7" s="27"/>
      <c r="P7" s="28"/>
      <c r="Q7" s="28"/>
      <c r="R7" s="28"/>
      <c r="S7" s="3"/>
      <c r="T7" s="3"/>
      <c r="U7" s="3"/>
    </row>
    <row r="8" spans="1:21" ht="34" customHeight="1">
      <c r="A8" s="3"/>
      <c r="B8" s="24" t="s">
        <v>32</v>
      </c>
      <c r="C8" s="24"/>
      <c r="D8" s="24"/>
      <c r="E8" s="24"/>
      <c r="F8" s="24"/>
      <c r="G8" s="24"/>
      <c r="H8" s="24"/>
      <c r="I8" s="24"/>
      <c r="J8" s="24"/>
      <c r="K8" s="3"/>
      <c r="L8" s="3"/>
      <c r="M8" s="20" t="s">
        <v>1</v>
      </c>
      <c r="N8" s="20"/>
      <c r="O8" s="20"/>
      <c r="P8" s="20"/>
      <c r="Q8" s="20"/>
      <c r="R8" s="20"/>
      <c r="S8" s="3"/>
      <c r="T8" s="3"/>
      <c r="U8" s="3"/>
    </row>
    <row r="9" spans="1:21" ht="30" customHeight="1">
      <c r="A9" s="3"/>
      <c r="B9" s="48"/>
      <c r="C9" s="48"/>
      <c r="D9" s="48"/>
      <c r="E9" s="48"/>
      <c r="F9" s="48"/>
      <c r="G9" s="48"/>
      <c r="H9" s="48"/>
      <c r="I9" s="48"/>
      <c r="J9" s="48"/>
      <c r="K9" s="3"/>
      <c r="L9" s="3"/>
      <c r="M9" s="67" t="s">
        <v>21</v>
      </c>
      <c r="N9" s="67"/>
      <c r="O9" s="67"/>
      <c r="P9" s="67"/>
      <c r="Q9" s="67"/>
      <c r="R9" s="67"/>
      <c r="S9" s="3"/>
      <c r="T9" s="3"/>
      <c r="U9" s="3"/>
    </row>
    <row r="10" spans="1:21" ht="38" customHeight="1">
      <c r="A10" s="3"/>
      <c r="B10" s="50" t="s">
        <v>39</v>
      </c>
      <c r="C10" s="50"/>
      <c r="D10" s="50"/>
      <c r="E10" s="50"/>
      <c r="F10" s="50"/>
      <c r="G10" s="50"/>
      <c r="H10" s="50"/>
      <c r="I10" s="50"/>
      <c r="J10" s="50"/>
      <c r="K10" s="29"/>
      <c r="L10" s="29"/>
      <c r="M10" s="1" t="s">
        <v>2</v>
      </c>
      <c r="N10" s="21" t="s">
        <v>29</v>
      </c>
      <c r="O10" s="22"/>
      <c r="P10" s="22"/>
      <c r="Q10" s="22"/>
      <c r="R10" s="22"/>
      <c r="S10" s="3"/>
      <c r="T10" s="3"/>
      <c r="U10" s="3"/>
    </row>
    <row r="11" spans="1:21" ht="30" customHeight="1">
      <c r="A11" s="3"/>
      <c r="B11" s="30" t="s">
        <v>35</v>
      </c>
      <c r="C11" s="31"/>
      <c r="D11" s="31"/>
      <c r="E11" s="31"/>
      <c r="F11" s="31"/>
      <c r="G11" s="31"/>
      <c r="H11" s="31"/>
      <c r="I11" s="31"/>
      <c r="J11" s="32"/>
      <c r="K11" s="3"/>
      <c r="L11" s="3"/>
      <c r="M11" s="1" t="s">
        <v>3</v>
      </c>
      <c r="N11" s="22" t="s">
        <v>4</v>
      </c>
      <c r="O11" s="22"/>
      <c r="P11" s="22"/>
      <c r="Q11" s="22"/>
      <c r="R11" s="22"/>
      <c r="S11" s="3"/>
      <c r="T11" s="3"/>
      <c r="U11" s="3"/>
    </row>
    <row r="12" spans="1:21" ht="30" customHeight="1">
      <c r="A12" s="3"/>
      <c r="B12" s="61">
        <f>Q37</f>
        <v>119800</v>
      </c>
      <c r="C12" s="62"/>
      <c r="D12" s="62"/>
      <c r="E12" s="62"/>
      <c r="F12" s="62"/>
      <c r="G12" s="62"/>
      <c r="H12" s="62"/>
      <c r="I12" s="62"/>
      <c r="J12" s="63"/>
      <c r="K12" s="3"/>
      <c r="L12" s="3"/>
      <c r="M12" s="1" t="s">
        <v>30</v>
      </c>
      <c r="N12" s="23" t="s">
        <v>31</v>
      </c>
      <c r="O12" s="23"/>
      <c r="P12" s="23"/>
      <c r="Q12" s="23"/>
      <c r="R12" s="23"/>
      <c r="S12" s="3"/>
      <c r="T12" s="3"/>
      <c r="U12" s="3"/>
    </row>
    <row r="13" spans="1:21" ht="32" customHeight="1">
      <c r="A13" s="3"/>
      <c r="B13" s="64"/>
      <c r="C13" s="65"/>
      <c r="D13" s="65"/>
      <c r="E13" s="65"/>
      <c r="F13" s="65"/>
      <c r="G13" s="65"/>
      <c r="H13" s="65"/>
      <c r="I13" s="65"/>
      <c r="J13" s="6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3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6" customHeight="1">
      <c r="A15" s="3"/>
      <c r="B15" s="42" t="s">
        <v>33</v>
      </c>
      <c r="C15" s="43">
        <v>44985</v>
      </c>
      <c r="D15" s="43"/>
      <c r="E15" s="43"/>
      <c r="F15" s="43"/>
      <c r="G15" s="43"/>
      <c r="H15" s="43"/>
      <c r="I15" s="43"/>
      <c r="J15" s="4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36" customHeight="1">
      <c r="A16" s="3"/>
      <c r="B16" s="44" t="s">
        <v>36</v>
      </c>
      <c r="C16" s="46"/>
      <c r="D16" s="46"/>
      <c r="E16" s="46"/>
      <c r="F16" s="46"/>
      <c r="G16" s="46"/>
      <c r="H16" s="46"/>
      <c r="I16" s="46"/>
      <c r="J16" s="4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30" customHeight="1">
      <c r="A17" s="3"/>
      <c r="B17" s="44"/>
      <c r="C17" s="46"/>
      <c r="D17" s="46"/>
      <c r="E17" s="46"/>
      <c r="F17" s="46"/>
      <c r="G17" s="46"/>
      <c r="H17" s="46"/>
      <c r="I17" s="46"/>
      <c r="J17" s="4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3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33" customHeight="1">
      <c r="A19" s="3"/>
      <c r="B19" s="30" t="s">
        <v>6</v>
      </c>
      <c r="C19" s="31"/>
      <c r="D19" s="31"/>
      <c r="E19" s="31"/>
      <c r="F19" s="31"/>
      <c r="G19" s="31"/>
      <c r="H19" s="31"/>
      <c r="I19" s="31"/>
      <c r="J19" s="31"/>
      <c r="K19" s="51" t="s">
        <v>41</v>
      </c>
      <c r="L19" s="33" t="s">
        <v>11</v>
      </c>
      <c r="M19" s="33" t="s">
        <v>10</v>
      </c>
      <c r="N19" s="34" t="s">
        <v>9</v>
      </c>
      <c r="O19" s="34"/>
      <c r="P19" s="33" t="s">
        <v>8</v>
      </c>
      <c r="Q19" s="34" t="s">
        <v>20</v>
      </c>
      <c r="R19" s="34"/>
      <c r="S19" s="3"/>
      <c r="T19" s="3"/>
      <c r="U19" s="3"/>
    </row>
    <row r="20" spans="1:21" ht="33" customHeight="1">
      <c r="A20" s="3"/>
      <c r="B20" s="10" t="s">
        <v>12</v>
      </c>
      <c r="C20" s="11"/>
      <c r="D20" s="11"/>
      <c r="E20" s="11"/>
      <c r="F20" s="11"/>
      <c r="G20" s="11"/>
      <c r="H20" s="11"/>
      <c r="I20" s="11"/>
      <c r="J20" s="12"/>
      <c r="K20" s="5"/>
      <c r="L20" s="4">
        <v>1</v>
      </c>
      <c r="M20" s="6" t="s">
        <v>15</v>
      </c>
      <c r="N20" s="16">
        <v>50000</v>
      </c>
      <c r="O20" s="16"/>
      <c r="P20" s="52" cm="1">
        <f t="array" ref="P20">_xlfn.IFS(B20="", "", K20="", 10%, K20="※", 8%)</f>
        <v>0.1</v>
      </c>
      <c r="Q20" s="53">
        <f>IF(N20="", "", L20*N20)</f>
        <v>50000</v>
      </c>
      <c r="R20" s="54"/>
      <c r="S20" s="3"/>
      <c r="T20" s="3"/>
      <c r="U20" s="3"/>
    </row>
    <row r="21" spans="1:21" ht="33" customHeight="1">
      <c r="A21" s="3"/>
      <c r="B21" s="13" t="s">
        <v>13</v>
      </c>
      <c r="C21" s="14"/>
      <c r="D21" s="14"/>
      <c r="E21" s="14"/>
      <c r="F21" s="14"/>
      <c r="G21" s="14"/>
      <c r="H21" s="14"/>
      <c r="I21" s="14"/>
      <c r="J21" s="15"/>
      <c r="K21" s="5" t="s">
        <v>5</v>
      </c>
      <c r="L21" s="4">
        <v>30</v>
      </c>
      <c r="M21" s="6" t="s">
        <v>14</v>
      </c>
      <c r="N21" s="16">
        <v>2000</v>
      </c>
      <c r="O21" s="16"/>
      <c r="P21" s="52" cm="1">
        <f t="array" ref="P21">_xlfn.IFS(B21="", "", K21="", 10%, K21="※", 8%)</f>
        <v>0.08</v>
      </c>
      <c r="Q21" s="53">
        <f t="shared" ref="Q21:Q34" si="0">IF(N21="", "", L21*N21)</f>
        <v>60000</v>
      </c>
      <c r="R21" s="54"/>
      <c r="S21" s="3"/>
      <c r="T21" s="3"/>
      <c r="U21" s="3"/>
    </row>
    <row r="22" spans="1:21" ht="33" customHeight="1">
      <c r="A22" s="3"/>
      <c r="B22" s="7"/>
      <c r="C22" s="8"/>
      <c r="D22" s="8"/>
      <c r="E22" s="8"/>
      <c r="F22" s="8"/>
      <c r="G22" s="8"/>
      <c r="H22" s="8"/>
      <c r="I22" s="8"/>
      <c r="J22" s="9"/>
      <c r="K22" s="5"/>
      <c r="L22" s="4"/>
      <c r="M22" s="6"/>
      <c r="N22" s="16"/>
      <c r="O22" s="16"/>
      <c r="P22" s="52" t="str" cm="1">
        <f t="array" ref="P22">_xlfn.IFS(D22="", "", K22="", 10%, K22="※", 8%)</f>
        <v/>
      </c>
      <c r="Q22" s="53" t="str">
        <f t="shared" si="0"/>
        <v/>
      </c>
      <c r="R22" s="54"/>
      <c r="S22" s="3"/>
      <c r="T22" s="3"/>
      <c r="U22" s="3"/>
    </row>
    <row r="23" spans="1:21" ht="33" customHeight="1">
      <c r="A23" s="3"/>
      <c r="B23" s="7"/>
      <c r="C23" s="8"/>
      <c r="D23" s="8"/>
      <c r="E23" s="8"/>
      <c r="F23" s="8"/>
      <c r="G23" s="8"/>
      <c r="H23" s="8"/>
      <c r="I23" s="8"/>
      <c r="J23" s="9"/>
      <c r="K23" s="5"/>
      <c r="L23" s="4"/>
      <c r="M23" s="6"/>
      <c r="N23" s="16"/>
      <c r="O23" s="16"/>
      <c r="P23" s="52" t="str" cm="1">
        <f t="array" ref="P23">_xlfn.IFS(D23="", "", K23="", 10%, K23="※", 8%)</f>
        <v/>
      </c>
      <c r="Q23" s="53" t="str">
        <f t="shared" si="0"/>
        <v/>
      </c>
      <c r="R23" s="54"/>
      <c r="S23" s="3"/>
      <c r="T23" s="3"/>
      <c r="U23" s="3"/>
    </row>
    <row r="24" spans="1:21" ht="33" customHeight="1">
      <c r="A24" s="3"/>
      <c r="B24" s="7"/>
      <c r="C24" s="8"/>
      <c r="D24" s="8"/>
      <c r="E24" s="8"/>
      <c r="F24" s="8"/>
      <c r="G24" s="8"/>
      <c r="H24" s="8"/>
      <c r="I24" s="8"/>
      <c r="J24" s="9"/>
      <c r="K24" s="5"/>
      <c r="L24" s="4"/>
      <c r="M24" s="6"/>
      <c r="N24" s="16"/>
      <c r="O24" s="16"/>
      <c r="P24" s="52" t="str" cm="1">
        <f t="array" ref="P24">_xlfn.IFS(D24="", "", K24="", 10%, K24="※", 8%)</f>
        <v/>
      </c>
      <c r="Q24" s="53" t="str">
        <f t="shared" si="0"/>
        <v/>
      </c>
      <c r="R24" s="54"/>
      <c r="S24" s="3"/>
      <c r="T24" s="3"/>
      <c r="U24" s="3"/>
    </row>
    <row r="25" spans="1:21" ht="33" customHeight="1">
      <c r="A25" s="3"/>
      <c r="B25" s="7"/>
      <c r="C25" s="8"/>
      <c r="D25" s="8"/>
      <c r="E25" s="8"/>
      <c r="F25" s="8"/>
      <c r="G25" s="8"/>
      <c r="H25" s="8"/>
      <c r="I25" s="8"/>
      <c r="J25" s="9"/>
      <c r="K25" s="5"/>
      <c r="L25" s="4"/>
      <c r="M25" s="6"/>
      <c r="N25" s="16"/>
      <c r="O25" s="16"/>
      <c r="P25" s="52" t="str" cm="1">
        <f t="array" ref="P25">_xlfn.IFS(D25="", "", K25="", 10%, K25="※", 8%)</f>
        <v/>
      </c>
      <c r="Q25" s="53" t="str">
        <f t="shared" si="0"/>
        <v/>
      </c>
      <c r="R25" s="54"/>
      <c r="S25" s="3"/>
      <c r="T25" s="3"/>
      <c r="U25" s="3"/>
    </row>
    <row r="26" spans="1:21" ht="33" customHeight="1">
      <c r="A26" s="3"/>
      <c r="B26" s="7"/>
      <c r="C26" s="8"/>
      <c r="D26" s="8"/>
      <c r="E26" s="8"/>
      <c r="F26" s="8"/>
      <c r="G26" s="8"/>
      <c r="H26" s="8"/>
      <c r="I26" s="8"/>
      <c r="J26" s="9"/>
      <c r="K26" s="5"/>
      <c r="L26" s="4"/>
      <c r="M26" s="6"/>
      <c r="N26" s="16"/>
      <c r="O26" s="16"/>
      <c r="P26" s="52" t="str" cm="1">
        <f t="array" ref="P26">_xlfn.IFS(D26="", "", K26="", 10%, K26="※", 8%)</f>
        <v/>
      </c>
      <c r="Q26" s="53" t="str">
        <f t="shared" si="0"/>
        <v/>
      </c>
      <c r="R26" s="54"/>
      <c r="S26" s="3"/>
      <c r="T26" s="3"/>
      <c r="U26" s="3"/>
    </row>
    <row r="27" spans="1:21" ht="33" customHeight="1">
      <c r="A27" s="3"/>
      <c r="B27" s="7"/>
      <c r="C27" s="8"/>
      <c r="D27" s="8"/>
      <c r="E27" s="8"/>
      <c r="F27" s="8"/>
      <c r="G27" s="8"/>
      <c r="H27" s="8"/>
      <c r="I27" s="8"/>
      <c r="J27" s="9"/>
      <c r="K27" s="5"/>
      <c r="L27" s="4"/>
      <c r="M27" s="6"/>
      <c r="N27" s="16"/>
      <c r="O27" s="16"/>
      <c r="P27" s="52" t="str" cm="1">
        <f t="array" ref="P27">_xlfn.IFS(D27="", "", K27="", 10%, K27="※", 8%)</f>
        <v/>
      </c>
      <c r="Q27" s="53" t="str">
        <f t="shared" si="0"/>
        <v/>
      </c>
      <c r="R27" s="54"/>
      <c r="S27" s="3"/>
      <c r="T27" s="3"/>
      <c r="U27" s="3"/>
    </row>
    <row r="28" spans="1:21" ht="33" customHeight="1">
      <c r="A28" s="3"/>
      <c r="B28" s="7"/>
      <c r="C28" s="8"/>
      <c r="D28" s="8"/>
      <c r="E28" s="8"/>
      <c r="F28" s="8"/>
      <c r="G28" s="8"/>
      <c r="H28" s="8"/>
      <c r="I28" s="8"/>
      <c r="J28" s="9"/>
      <c r="K28" s="5"/>
      <c r="L28" s="4"/>
      <c r="M28" s="6"/>
      <c r="N28" s="16"/>
      <c r="O28" s="16"/>
      <c r="P28" s="52" t="str" cm="1">
        <f t="array" ref="P28">_xlfn.IFS(D28="", "", K28="", 10%, K28="※", 8%)</f>
        <v/>
      </c>
      <c r="Q28" s="53" t="str">
        <f t="shared" si="0"/>
        <v/>
      </c>
      <c r="R28" s="54"/>
      <c r="S28" s="3"/>
      <c r="T28" s="3"/>
      <c r="U28" s="3"/>
    </row>
    <row r="29" spans="1:21" ht="33" customHeight="1">
      <c r="A29" s="3"/>
      <c r="B29" s="7"/>
      <c r="C29" s="8"/>
      <c r="D29" s="8"/>
      <c r="E29" s="8"/>
      <c r="F29" s="8"/>
      <c r="G29" s="8"/>
      <c r="H29" s="8"/>
      <c r="I29" s="8"/>
      <c r="J29" s="9"/>
      <c r="K29" s="5"/>
      <c r="L29" s="4"/>
      <c r="M29" s="6"/>
      <c r="N29" s="16"/>
      <c r="O29" s="16"/>
      <c r="P29" s="52" t="str" cm="1">
        <f t="array" ref="P29">_xlfn.IFS(D29="", "", K29="", 10%, K29="※", 8%)</f>
        <v/>
      </c>
      <c r="Q29" s="53" t="str">
        <f t="shared" si="0"/>
        <v/>
      </c>
      <c r="R29" s="54"/>
      <c r="S29" s="3"/>
      <c r="T29" s="3"/>
      <c r="U29" s="3"/>
    </row>
    <row r="30" spans="1:21" ht="33" customHeight="1">
      <c r="A30" s="3"/>
      <c r="B30" s="7"/>
      <c r="C30" s="8"/>
      <c r="D30" s="8"/>
      <c r="E30" s="8"/>
      <c r="F30" s="8"/>
      <c r="G30" s="8"/>
      <c r="H30" s="8"/>
      <c r="I30" s="8"/>
      <c r="J30" s="9"/>
      <c r="K30" s="5"/>
      <c r="L30" s="4"/>
      <c r="M30" s="6"/>
      <c r="N30" s="16"/>
      <c r="O30" s="16"/>
      <c r="P30" s="52" t="str" cm="1">
        <f t="array" ref="P30">_xlfn.IFS(D30="", "", K30="", 10%, K30="※", 8%)</f>
        <v/>
      </c>
      <c r="Q30" s="53" t="str">
        <f t="shared" si="0"/>
        <v/>
      </c>
      <c r="R30" s="54"/>
      <c r="S30" s="3"/>
      <c r="T30" s="3"/>
      <c r="U30" s="3"/>
    </row>
    <row r="31" spans="1:21" ht="33" customHeight="1">
      <c r="A31" s="3"/>
      <c r="B31" s="7"/>
      <c r="C31" s="8"/>
      <c r="D31" s="8"/>
      <c r="E31" s="8"/>
      <c r="F31" s="8"/>
      <c r="G31" s="8"/>
      <c r="H31" s="8"/>
      <c r="I31" s="8"/>
      <c r="J31" s="9"/>
      <c r="K31" s="5"/>
      <c r="L31" s="4"/>
      <c r="M31" s="6"/>
      <c r="N31" s="16"/>
      <c r="O31" s="16"/>
      <c r="P31" s="52" t="str" cm="1">
        <f t="array" ref="P31">_xlfn.IFS(D31="", "", K31="", 10%, K31="※", 8%)</f>
        <v/>
      </c>
      <c r="Q31" s="53" t="str">
        <f t="shared" si="0"/>
        <v/>
      </c>
      <c r="R31" s="54"/>
      <c r="S31" s="3"/>
      <c r="T31" s="3"/>
      <c r="U31" s="3"/>
    </row>
    <row r="32" spans="1:21" ht="33" customHeight="1">
      <c r="A32" s="3"/>
      <c r="B32" s="7"/>
      <c r="C32" s="8"/>
      <c r="D32" s="8"/>
      <c r="E32" s="8"/>
      <c r="F32" s="8"/>
      <c r="G32" s="8"/>
      <c r="H32" s="8"/>
      <c r="I32" s="8"/>
      <c r="J32" s="9"/>
      <c r="K32" s="5"/>
      <c r="L32" s="4"/>
      <c r="M32" s="6"/>
      <c r="N32" s="16"/>
      <c r="O32" s="16"/>
      <c r="P32" s="52" t="str" cm="1">
        <f t="array" ref="P32">_xlfn.IFS(D32="", "", K32="", 10%, K32="※", 8%)</f>
        <v/>
      </c>
      <c r="Q32" s="53" t="str">
        <f t="shared" si="0"/>
        <v/>
      </c>
      <c r="R32" s="54"/>
      <c r="S32" s="3"/>
      <c r="T32" s="3"/>
      <c r="U32" s="3"/>
    </row>
    <row r="33" spans="1:21" ht="33" customHeight="1">
      <c r="A33" s="3"/>
      <c r="B33" s="7"/>
      <c r="C33" s="8"/>
      <c r="D33" s="8"/>
      <c r="E33" s="8"/>
      <c r="F33" s="8"/>
      <c r="G33" s="8"/>
      <c r="H33" s="8"/>
      <c r="I33" s="8"/>
      <c r="J33" s="9"/>
      <c r="K33" s="5"/>
      <c r="L33" s="4"/>
      <c r="M33" s="6"/>
      <c r="N33" s="16"/>
      <c r="O33" s="16"/>
      <c r="P33" s="52" t="str" cm="1">
        <f t="array" ref="P33">_xlfn.IFS(D33="", "", K33="", 10%, K33="※", 8%)</f>
        <v/>
      </c>
      <c r="Q33" s="53" t="str">
        <f t="shared" si="0"/>
        <v/>
      </c>
      <c r="R33" s="54"/>
      <c r="S33" s="3"/>
      <c r="T33" s="3"/>
      <c r="U33" s="3"/>
    </row>
    <row r="34" spans="1:21" ht="33" customHeight="1">
      <c r="A34" s="3"/>
      <c r="B34" s="7"/>
      <c r="C34" s="8"/>
      <c r="D34" s="8"/>
      <c r="E34" s="8"/>
      <c r="F34" s="8"/>
      <c r="G34" s="8"/>
      <c r="H34" s="8"/>
      <c r="I34" s="8"/>
      <c r="J34" s="9"/>
      <c r="K34" s="5"/>
      <c r="L34" s="4"/>
      <c r="M34" s="6"/>
      <c r="N34" s="16"/>
      <c r="O34" s="16"/>
      <c r="P34" s="52" t="str" cm="1">
        <f t="array" ref="P34">_xlfn.IFS(D34="", "", K34="", 10%, K34="※", 8%)</f>
        <v/>
      </c>
      <c r="Q34" s="55" t="str">
        <f t="shared" si="0"/>
        <v/>
      </c>
      <c r="R34" s="55"/>
      <c r="S34" s="3"/>
      <c r="T34" s="3"/>
      <c r="U34" s="3"/>
    </row>
    <row r="35" spans="1:21" ht="33" customHeight="1">
      <c r="A35" s="3"/>
      <c r="B35" s="2" t="s">
        <v>26</v>
      </c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35" t="s">
        <v>16</v>
      </c>
      <c r="P35" s="36"/>
      <c r="Q35" s="56">
        <f>SUM(F37:G38)</f>
        <v>110000</v>
      </c>
      <c r="R35" s="57"/>
      <c r="S35" s="3"/>
      <c r="T35" s="3"/>
      <c r="U35" s="3"/>
    </row>
    <row r="36" spans="1:21" ht="33" customHeight="1">
      <c r="A36" s="3"/>
      <c r="B36" s="34" t="s">
        <v>17</v>
      </c>
      <c r="C36" s="34"/>
      <c r="D36" s="34" t="s">
        <v>7</v>
      </c>
      <c r="E36" s="34"/>
      <c r="F36" s="37" t="s">
        <v>20</v>
      </c>
      <c r="G36" s="38"/>
      <c r="H36" s="2"/>
      <c r="I36" s="2"/>
      <c r="J36" s="2"/>
      <c r="K36" s="2"/>
      <c r="L36" s="2"/>
      <c r="M36" s="2"/>
      <c r="N36" s="39"/>
      <c r="O36" s="35" t="s">
        <v>27</v>
      </c>
      <c r="P36" s="36"/>
      <c r="Q36" s="58">
        <f>SUM(D37:E38)</f>
        <v>9800</v>
      </c>
      <c r="R36" s="59"/>
      <c r="S36" s="3"/>
      <c r="T36" s="3"/>
      <c r="U36" s="3"/>
    </row>
    <row r="37" spans="1:21" ht="33" customHeight="1">
      <c r="A37" s="3"/>
      <c r="B37" s="40" t="s">
        <v>18</v>
      </c>
      <c r="C37" s="40"/>
      <c r="D37" s="60">
        <f>ROUND(F37*10%,1)</f>
        <v>5000</v>
      </c>
      <c r="E37" s="60"/>
      <c r="F37" s="58">
        <f>SUMIF(P20:P34, 10%, Q20:R34)</f>
        <v>50000</v>
      </c>
      <c r="G37" s="59"/>
      <c r="H37" s="2"/>
      <c r="I37" s="2"/>
      <c r="J37" s="2"/>
      <c r="K37" s="2"/>
      <c r="L37" s="2"/>
      <c r="M37" s="2"/>
      <c r="N37" s="39"/>
      <c r="O37" s="35" t="s">
        <v>28</v>
      </c>
      <c r="P37" s="36"/>
      <c r="Q37" s="56">
        <f>SUM(Q35:R36)</f>
        <v>119800</v>
      </c>
      <c r="R37" s="57"/>
      <c r="S37" s="3"/>
      <c r="T37" s="3"/>
      <c r="U37" s="3"/>
    </row>
    <row r="38" spans="1:21" ht="33" customHeight="1">
      <c r="A38" s="3"/>
      <c r="B38" s="40" t="s">
        <v>19</v>
      </c>
      <c r="C38" s="40"/>
      <c r="D38" s="60">
        <f>ROUND(F38*8%,1)</f>
        <v>4800</v>
      </c>
      <c r="E38" s="60"/>
      <c r="F38" s="58">
        <f>SUMIF(P20:P34, 8%, Q20:R34)</f>
        <v>60000</v>
      </c>
      <c r="G38" s="59"/>
      <c r="H38" s="2"/>
      <c r="I38" s="2"/>
      <c r="J38" s="2"/>
      <c r="K38" s="2"/>
      <c r="L38" s="2"/>
      <c r="M38" s="2"/>
      <c r="N38" s="39"/>
      <c r="O38" s="39"/>
      <c r="P38" s="41"/>
      <c r="Q38" s="41"/>
      <c r="R38" s="41"/>
      <c r="S38" s="3"/>
      <c r="T38" s="3"/>
      <c r="U38" s="3"/>
    </row>
    <row r="39" spans="1:21" ht="33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9"/>
      <c r="O39" s="39"/>
      <c r="P39" s="39"/>
      <c r="Q39" s="39"/>
      <c r="R39" s="39"/>
      <c r="S39" s="3"/>
      <c r="T39" s="3"/>
      <c r="U39" s="3"/>
    </row>
    <row r="40" spans="1:21" ht="19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33" customHeight="1">
      <c r="A41" s="3"/>
      <c r="B41" s="34" t="s">
        <v>22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"/>
      <c r="T41" s="3"/>
      <c r="U41" s="3"/>
    </row>
    <row r="42" spans="1:21" ht="33" customHeight="1">
      <c r="A42" s="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3"/>
      <c r="T42" s="3"/>
      <c r="U42" s="3"/>
    </row>
    <row r="43" spans="1:21" ht="33" customHeight="1">
      <c r="A43" s="3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3"/>
      <c r="T43" s="3"/>
      <c r="U43" s="3"/>
    </row>
    <row r="44" spans="1:21" ht="33" customHeight="1">
      <c r="A44" s="3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3"/>
      <c r="T44" s="3"/>
      <c r="U44" s="3"/>
    </row>
    <row r="45" spans="1:21" ht="2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3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33" customHeight="1"/>
    <row r="48" spans="1:21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33" customHeight="1"/>
    <row r="61" ht="33" hidden="1" customHeight="1"/>
  </sheetData>
  <sheetProtection sheet="1" objects="1" scenarios="1" formatCells="0" formatColumns="0" formatRows="0"/>
  <mergeCells count="85">
    <mergeCell ref="B7:J7"/>
    <mergeCell ref="B9:J9"/>
    <mergeCell ref="B10:J10"/>
    <mergeCell ref="B19:J19"/>
    <mergeCell ref="B42:R44"/>
    <mergeCell ref="B41:R41"/>
    <mergeCell ref="B36:C36"/>
    <mergeCell ref="D36:E36"/>
    <mergeCell ref="M8:R8"/>
    <mergeCell ref="B11:J11"/>
    <mergeCell ref="B12:J13"/>
    <mergeCell ref="N10:R10"/>
    <mergeCell ref="N11:R11"/>
    <mergeCell ref="N12:R12"/>
    <mergeCell ref="B8:J8"/>
    <mergeCell ref="N34:O34"/>
    <mergeCell ref="Q34:R34"/>
    <mergeCell ref="N32:O32"/>
    <mergeCell ref="Q32:R32"/>
    <mergeCell ref="N33:O33"/>
    <mergeCell ref="Q33:R33"/>
    <mergeCell ref="N30:O30"/>
    <mergeCell ref="Q30:R30"/>
    <mergeCell ref="N31:O31"/>
    <mergeCell ref="Q31:R31"/>
    <mergeCell ref="N28:O28"/>
    <mergeCell ref="N29:O29"/>
    <mergeCell ref="N24:O24"/>
    <mergeCell ref="N25:O25"/>
    <mergeCell ref="N26:O26"/>
    <mergeCell ref="N27:O27"/>
    <mergeCell ref="B2:R2"/>
    <mergeCell ref="P4:R4"/>
    <mergeCell ref="N4:O4"/>
    <mergeCell ref="N5:O5"/>
    <mergeCell ref="P5:R5"/>
    <mergeCell ref="Q19:R19"/>
    <mergeCell ref="C15:J15"/>
    <mergeCell ref="B16:B17"/>
    <mergeCell ref="C16:J17"/>
    <mergeCell ref="M9:R9"/>
    <mergeCell ref="B6:J6"/>
    <mergeCell ref="Q20:R20"/>
    <mergeCell ref="Q21:R21"/>
    <mergeCell ref="Q22:R22"/>
    <mergeCell ref="Q23:R23"/>
    <mergeCell ref="N19:O19"/>
    <mergeCell ref="N20:O20"/>
    <mergeCell ref="N21:O21"/>
    <mergeCell ref="N22:O22"/>
    <mergeCell ref="N23:O23"/>
    <mergeCell ref="Q29:R29"/>
    <mergeCell ref="Q28:R28"/>
    <mergeCell ref="Q24:R24"/>
    <mergeCell ref="Q25:R25"/>
    <mergeCell ref="Q26:R26"/>
    <mergeCell ref="Q27:R27"/>
    <mergeCell ref="B37:C37"/>
    <mergeCell ref="D37:E37"/>
    <mergeCell ref="B38:C38"/>
    <mergeCell ref="D38:E38"/>
    <mergeCell ref="F38:G38"/>
    <mergeCell ref="O37:P37"/>
    <mergeCell ref="Q35:R35"/>
    <mergeCell ref="Q36:R36"/>
    <mergeCell ref="Q37:R37"/>
    <mergeCell ref="F36:G36"/>
    <mergeCell ref="F37:G37"/>
    <mergeCell ref="O35:P35"/>
    <mergeCell ref="O36:P36"/>
    <mergeCell ref="B20:J20"/>
    <mergeCell ref="B21:J21"/>
    <mergeCell ref="B22:J22"/>
    <mergeCell ref="B23:J23"/>
    <mergeCell ref="B24:J24"/>
    <mergeCell ref="B32:J32"/>
    <mergeCell ref="B33:J33"/>
    <mergeCell ref="B34:J34"/>
    <mergeCell ref="B25:J25"/>
    <mergeCell ref="B26:J26"/>
    <mergeCell ref="B27:J27"/>
    <mergeCell ref="B28:J28"/>
    <mergeCell ref="B29:J29"/>
    <mergeCell ref="B30:J30"/>
    <mergeCell ref="B31:J31"/>
  </mergeCells>
  <phoneticPr fontId="1"/>
  <dataValidations count="3">
    <dataValidation type="list" allowBlank="1" showInputMessage="1" showErrorMessage="1" sqref="K20:K34" xr:uid="{06E90AD4-6911-0748-99AE-7D0CD27F9F16}">
      <formula1>"※"</formula1>
    </dataValidation>
    <dataValidation type="date" operator="greaterThanOrEqual" allowBlank="1" showErrorMessage="1" errorTitle="日付の入力エラー" error="正しい日付を入力してください。" promptTitle="発注日" prompt="発注書の発行日を入力してください。" sqref="P4:R4" xr:uid="{9DD64EE9-CD56-8443-BDC2-189D8C52EB72}">
      <formula1>1</formula1>
    </dataValidation>
    <dataValidation type="date" operator="greaterThanOrEqual" allowBlank="1" showInputMessage="1" showErrorMessage="1" errorTitle="日付の入力エラー" error="正しい日付を入力してください。" sqref="C15" xr:uid="{8A42D249-62F4-7041-9CEF-7E2F1F685902}">
      <formula1>1</formula1>
    </dataValidation>
  </dataValidations>
  <pageMargins left="0.7" right="0.7" top="0.75" bottom="0.75" header="0.3" footer="0.3"/>
  <pageSetup paperSize="9" scale="5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A041-0EC7-4744-9972-E965D0BA597C}">
  <dimension ref="A2:A4"/>
  <sheetViews>
    <sheetView workbookViewId="0">
      <selection activeCell="A2" sqref="A2"/>
    </sheetView>
  </sheetViews>
  <sheetFormatPr baseColWidth="10" defaultRowHeight="20"/>
  <sheetData>
    <row r="2" spans="1:1">
      <c r="A2" t="s">
        <v>25</v>
      </c>
    </row>
    <row r="3" spans="1:1">
      <c r="A3" t="s">
        <v>24</v>
      </c>
    </row>
    <row r="4" spans="1:1">
      <c r="A4" t="s">
        <v>23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発注書</vt:lpstr>
      <vt:lpstr>注意事項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Ryusei Kakubari</dc:creator>
  <cp:lastModifiedBy>Ryusei Kakubari</cp:lastModifiedBy>
  <cp:lastPrinted>2022-12-26T11:07:49Z</cp:lastPrinted>
  <dcterms:created xsi:type="dcterms:W3CDTF">2022-12-20T01:06:52Z</dcterms:created>
  <dcterms:modified xsi:type="dcterms:W3CDTF">2023-03-03T10:45:54Z</dcterms:modified>
</cp:coreProperties>
</file>