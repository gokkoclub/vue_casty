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<sst xmlns="http://schemas.openxmlformats.org/spreadsheetml/2006/main" count="55" uniqueCount="49">
  <si>
    <t>発注書</t>
  </si>
  <si>
    <r>
      <rPr>
        <rFont val="Arial"/>
        <color theme="1"/>
        <sz val="13.0"/>
      </rPr>
      <t>〇〇〇〇〇〇〇</t>
    </r>
    <r>
      <rPr>
        <rFont val="Arial"/>
        <color theme="1"/>
        <sz val="16.0"/>
      </rPr>
      <t>株式会社</t>
    </r>
  </si>
  <si>
    <t>御中</t>
  </si>
  <si>
    <t xml:space="preserve">発注No. </t>
  </si>
  <si>
    <t>〇〇〇〇〇〇〇〇</t>
  </si>
  <si>
    <t>発注日：</t>
  </si>
  <si>
    <t>20〇〇年〇月〇日</t>
  </si>
  <si>
    <t>件名：</t>
  </si>
  <si>
    <t>〇〇〇〇〇〇〇〇〇〇</t>
  </si>
  <si>
    <t>株式会社〇〇〇〇〇〇〇〇</t>
  </si>
  <si>
    <t>〒〇〇〇-〇〇〇〇</t>
  </si>
  <si>
    <t>下記の通り、発注いたします。</t>
  </si>
  <si>
    <t>〇〇県〇〇市〇〇町〇 - 〇 - 〇</t>
  </si>
  <si>
    <t>登録番号：</t>
  </si>
  <si>
    <t>T0000000000000</t>
  </si>
  <si>
    <t>納期：</t>
  </si>
  <si>
    <t>TEL：</t>
  </si>
  <si>
    <t>000-000-0000</t>
  </si>
  <si>
    <t>納品場所：</t>
  </si>
  <si>
    <t>〇〇営業所</t>
  </si>
  <si>
    <t>FAX：</t>
  </si>
  <si>
    <t>検査完了日：</t>
  </si>
  <si>
    <t>支払期日：</t>
  </si>
  <si>
    <t>支払条件：</t>
  </si>
  <si>
    <t>月末締め翌月末払い</t>
  </si>
  <si>
    <t>支払方法：</t>
  </si>
  <si>
    <t>銀行振込</t>
  </si>
  <si>
    <t>合計金額：</t>
  </si>
  <si>
    <t>（税込）</t>
  </si>
  <si>
    <t>内容</t>
  </si>
  <si>
    <t>軽減税率</t>
  </si>
  <si>
    <t>数量</t>
  </si>
  <si>
    <t>単位</t>
  </si>
  <si>
    <r>
      <rPr>
        <rFont val="Yu Gothic"/>
        <color theme="1"/>
        <sz val="11.0"/>
      </rPr>
      <t>単価</t>
    </r>
    <r>
      <rPr>
        <rFont val="Yu Gothic"/>
        <color theme="1"/>
        <sz val="9.0"/>
      </rPr>
      <t>（税抜）</t>
    </r>
  </si>
  <si>
    <t>税率</t>
  </si>
  <si>
    <r>
      <rPr>
        <rFont val="Yu Gothic"/>
        <color theme="1"/>
        <sz val="11.0"/>
      </rPr>
      <t>金額</t>
    </r>
    <r>
      <rPr>
        <rFont val="Yu Gothic"/>
        <color theme="1"/>
        <sz val="9.0"/>
      </rPr>
      <t>（税抜）</t>
    </r>
  </si>
  <si>
    <t>商品AAAAA</t>
  </si>
  <si>
    <t>個</t>
  </si>
  <si>
    <t>商品BBBBB</t>
  </si>
  <si>
    <t>※</t>
  </si>
  <si>
    <t>式</t>
  </si>
  <si>
    <t>※は軽減税率対象です。</t>
  </si>
  <si>
    <t>小計</t>
  </si>
  <si>
    <r>
      <rPr>
        <rFont val="Yu Gothic"/>
        <color theme="1"/>
        <sz val="11.0"/>
      </rPr>
      <t>小計</t>
    </r>
    <r>
      <rPr>
        <rFont val="Yu Gothic"/>
        <color theme="1"/>
        <sz val="9.0"/>
      </rPr>
      <t>（税抜）</t>
    </r>
  </si>
  <si>
    <t>消費税</t>
  </si>
  <si>
    <t>10％対象</t>
  </si>
  <si>
    <t>合計</t>
  </si>
  <si>
    <t>8％対象</t>
  </si>
  <si>
    <t>備考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</si>
</sst>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¥&quot;#,##0;&quot;¥&quot;\-#,##0"/>
    <numFmt numFmtId="165" formatCode="&quot;¥&quot;#,##0_);[Red]\(&quot;¥&quot;#,##0\)"/>
  </numFmts>
  <fonts count="18">
    <font>
      <sz val="11.0"/>
      <color theme="1"/>
      <name val="Calibri"/>
      <scheme val="minor"/>
    </font>
    <font>
      <sz val="11.0"/>
      <color theme="1"/>
      <name val="Yu Gothic"/>
    </font>
    <font>
      <sz val="22.0"/>
      <color theme="1"/>
      <name val="Yu Gothic"/>
    </font>
    <font>
      <sz val="16.0"/>
      <color theme="1"/>
      <name val="Arial"/>
    </font>
    <font>
      <sz val="16.0"/>
      <color theme="1"/>
      <name val="Yu Gothic"/>
    </font>
    <font>
      <b/>
      <sz val="10.0"/>
      <color theme="1"/>
      <name val="Yu Gothic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sz val="10.0"/>
      <color theme="1"/>
      <name val="Yu Gothic"/>
    </font>
    <font>
      <sz val="9.0"/>
      <color theme="1"/>
      <name val="Yu Gothic"/>
    </font>
    <font>
      <b/>
      <sz val="14.0"/>
      <color theme="1"/>
      <name val="Yu Gothic"/>
    </font>
    <font>
      <sz val="18.0"/>
      <color theme="1"/>
      <name val="Yu Gothic"/>
    </font>
    <font/>
    <font>
      <sz val="11.0"/>
      <color theme="0"/>
      <name val="Yu Gothic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right" readingOrder="0" vertical="center"/>
    </xf>
    <xf borderId="0" fillId="0" fontId="8" numFmtId="0" xfId="0" applyAlignment="1" applyFont="1">
      <alignment horizontal="right"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" numFmtId="0" xfId="0" applyAlignment="1" applyFont="1">
      <alignment horizontal="right"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3" numFmtId="0" xfId="0" applyAlignment="1" applyFont="1">
      <alignment horizontal="right" vertical="center"/>
    </xf>
    <xf borderId="0" fillId="0" fontId="1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14" numFmtId="164" xfId="0" applyAlignment="1" applyBorder="1" applyFont="1" applyNumberFormat="1">
      <alignment horizontal="right" vertical="center"/>
    </xf>
    <xf borderId="1" fillId="0" fontId="15" numFmtId="164" xfId="0" applyAlignment="1" applyBorder="1" applyFont="1" applyNumberFormat="1">
      <alignment horizontal="right" vertical="center"/>
    </xf>
    <xf borderId="1" fillId="0" fontId="16" numFmtId="0" xfId="0" applyBorder="1" applyFont="1"/>
    <xf borderId="1" fillId="0" fontId="1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16" numFmtId="0" xfId="0" applyBorder="1" applyFont="1"/>
    <xf borderId="4" fillId="0" fontId="16" numFmtId="0" xfId="0" applyBorder="1" applyFont="1"/>
    <xf borderId="2" fillId="2" fontId="1" numFmtId="0" xfId="0" applyAlignment="1" applyBorder="1" applyFont="1">
      <alignment horizontal="center" shrinkToFit="1" vertical="center" wrapText="0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right" vertical="center"/>
    </xf>
    <xf borderId="6" fillId="0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right" vertical="center"/>
    </xf>
    <xf borderId="7" fillId="0" fontId="1" numFmtId="0" xfId="0" applyAlignment="1" applyBorder="1" applyFont="1">
      <alignment horizontal="right" vertical="center"/>
    </xf>
    <xf borderId="7" fillId="0" fontId="1" numFmtId="164" xfId="0" applyAlignment="1" applyBorder="1" applyFont="1" applyNumberFormat="1">
      <alignment horizontal="right" vertical="center"/>
    </xf>
    <xf borderId="0" fillId="0" fontId="13" numFmtId="0" xfId="0" applyAlignment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vertical="center"/>
    </xf>
    <xf borderId="7" fillId="0" fontId="12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right" vertical="center"/>
    </xf>
    <xf borderId="8" fillId="3" fontId="17" numFmtId="0" xfId="0" applyAlignment="1" applyBorder="1" applyFill="1" applyFont="1">
      <alignment horizontal="center" vertical="center"/>
    </xf>
    <xf borderId="9" fillId="0" fontId="12" numFmtId="0" xfId="0" applyAlignment="1" applyBorder="1" applyFont="1">
      <alignment horizontal="left" vertical="top"/>
    </xf>
    <xf borderId="9" fillId="0" fontId="16" numFmtId="0" xfId="0" applyBorder="1" applyFont="1"/>
    <xf borderId="10" fillId="0" fontId="16" numFmtId="0" xfId="0" applyBorder="1" applyFont="1"/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9.57"/>
    <col customWidth="1" min="3" max="3" width="3.57"/>
    <col customWidth="1" min="4" max="4" width="9.43"/>
    <col customWidth="1" min="5" max="5" width="7.57"/>
    <col customWidth="1" min="6" max="6" width="2.71"/>
    <col customWidth="1" min="7" max="8" width="7.57"/>
    <col customWidth="1" min="9" max="9" width="6.57"/>
    <col customWidth="1" min="10" max="10" width="8.71"/>
    <col customWidth="1" min="11" max="11" width="3.71"/>
    <col customWidth="1" min="12" max="12" width="7.57"/>
    <col customWidth="1" min="13" max="13" width="13.57"/>
    <col customWidth="1" min="14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" t="s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3" t="s">
        <v>1</v>
      </c>
      <c r="C4" s="4"/>
      <c r="D4" s="1"/>
      <c r="E4" s="1"/>
      <c r="F4" s="1"/>
      <c r="G4" s="1"/>
      <c r="H4" s="1" t="s">
        <v>2</v>
      </c>
      <c r="I4" s="1"/>
      <c r="J4" s="1"/>
      <c r="K4" s="5" t="s">
        <v>3</v>
      </c>
      <c r="L4" s="6" t="s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7" t="s">
        <v>5</v>
      </c>
      <c r="L5" s="6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8" t="s">
        <v>7</v>
      </c>
      <c r="C7" s="9" t="s">
        <v>8</v>
      </c>
      <c r="D7" s="1"/>
      <c r="E7" s="1"/>
      <c r="F7" s="1"/>
      <c r="G7" s="1"/>
      <c r="H7" s="1"/>
      <c r="I7" s="1"/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1"/>
      <c r="C8" s="11"/>
      <c r="D8" s="1"/>
      <c r="E8" s="1"/>
      <c r="F8" s="1"/>
      <c r="G8" s="1"/>
      <c r="H8" s="1"/>
      <c r="I8" s="1"/>
      <c r="J8" s="12" t="s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3" t="s">
        <v>11</v>
      </c>
      <c r="C9" s="14"/>
      <c r="D9" s="1"/>
      <c r="E9" s="1"/>
      <c r="F9" s="1"/>
      <c r="G9" s="1"/>
      <c r="H9" s="1"/>
      <c r="I9" s="1"/>
      <c r="J9" s="12" t="s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1"/>
      <c r="C10" s="11"/>
      <c r="D10" s="1"/>
      <c r="E10" s="1"/>
      <c r="F10" s="1"/>
      <c r="G10" s="1"/>
      <c r="H10" s="1"/>
      <c r="I10" s="1"/>
      <c r="J10" s="15" t="s">
        <v>13</v>
      </c>
      <c r="K10" s="1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6"/>
      <c r="C11" s="5" t="s">
        <v>15</v>
      </c>
      <c r="D11" s="6" t="s">
        <v>6</v>
      </c>
      <c r="E11" s="1"/>
      <c r="F11" s="1"/>
      <c r="G11" s="1"/>
      <c r="H11" s="1"/>
      <c r="I11" s="1"/>
      <c r="J11" s="15" t="s">
        <v>16</v>
      </c>
      <c r="K11" s="1" t="s">
        <v>17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6"/>
      <c r="C12" s="5" t="s">
        <v>18</v>
      </c>
      <c r="D12" s="6" t="s">
        <v>19</v>
      </c>
      <c r="E12" s="1"/>
      <c r="F12" s="1"/>
      <c r="G12" s="1"/>
      <c r="H12" s="1"/>
      <c r="I12" s="1"/>
      <c r="J12" s="15" t="s">
        <v>20</v>
      </c>
      <c r="K12" s="1" t="s">
        <v>17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6"/>
      <c r="C13" s="5" t="s">
        <v>21</v>
      </c>
      <c r="D13" s="6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6"/>
      <c r="C14" s="5" t="s">
        <v>22</v>
      </c>
      <c r="D14" s="6" t="s">
        <v>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6"/>
      <c r="C15" s="5" t="s">
        <v>23</v>
      </c>
      <c r="D15" s="16" t="s">
        <v>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6"/>
      <c r="C16" s="5" t="s">
        <v>25</v>
      </c>
      <c r="D16" s="16" t="s">
        <v>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7"/>
      <c r="C18" s="18" t="s">
        <v>27</v>
      </c>
      <c r="D18" s="19">
        <f>M31</f>
        <v>49100</v>
      </c>
      <c r="E18" s="20"/>
      <c r="F18" s="20"/>
      <c r="G18" s="20"/>
      <c r="H18" s="21" t="s">
        <v>28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22"/>
      <c r="B20" s="23" t="s">
        <v>29</v>
      </c>
      <c r="C20" s="24"/>
      <c r="D20" s="24"/>
      <c r="E20" s="25"/>
      <c r="F20" s="26" t="s">
        <v>30</v>
      </c>
      <c r="G20" s="25"/>
      <c r="H20" s="27" t="s">
        <v>31</v>
      </c>
      <c r="I20" s="28" t="s">
        <v>32</v>
      </c>
      <c r="J20" s="23" t="s">
        <v>33</v>
      </c>
      <c r="K20" s="25"/>
      <c r="L20" s="29" t="s">
        <v>34</v>
      </c>
      <c r="M20" s="29" t="s">
        <v>35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5.5" customHeight="1">
      <c r="A21" s="1"/>
      <c r="B21" s="30" t="s">
        <v>36</v>
      </c>
      <c r="C21" s="24"/>
      <c r="D21" s="24"/>
      <c r="E21" s="25"/>
      <c r="F21" s="31"/>
      <c r="G21" s="25"/>
      <c r="H21" s="32">
        <v>5.0</v>
      </c>
      <c r="I21" s="33" t="s">
        <v>37</v>
      </c>
      <c r="J21" s="34">
        <v>5000.0</v>
      </c>
      <c r="K21" s="25"/>
      <c r="L21" s="35" t="str">
        <f t="array" ref="L21">IFS(B21="","",F21="","10%",F21="※","8%")</f>
        <v>10%</v>
      </c>
      <c r="M21" s="36">
        <f t="shared" ref="M21:M28" si="1">IF(B21="","",J21*H21)</f>
        <v>25000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30" t="s">
        <v>38</v>
      </c>
      <c r="C22" s="24"/>
      <c r="D22" s="24"/>
      <c r="E22" s="25"/>
      <c r="F22" s="31" t="s">
        <v>39</v>
      </c>
      <c r="G22" s="25"/>
      <c r="H22" s="32">
        <v>1.0</v>
      </c>
      <c r="I22" s="33" t="s">
        <v>40</v>
      </c>
      <c r="J22" s="34">
        <v>20000.0</v>
      </c>
      <c r="K22" s="25"/>
      <c r="L22" s="35" t="str">
        <f t="array" ref="L22">IFS(B22="","",F22="","10%",F22="※","8%")</f>
        <v>8%</v>
      </c>
      <c r="M22" s="36">
        <f t="shared" si="1"/>
        <v>20000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30"/>
      <c r="C23" s="24"/>
      <c r="D23" s="24"/>
      <c r="E23" s="25"/>
      <c r="F23" s="31"/>
      <c r="G23" s="25"/>
      <c r="H23" s="32"/>
      <c r="I23" s="33"/>
      <c r="J23" s="34"/>
      <c r="K23" s="25"/>
      <c r="L23" s="35" t="str">
        <f t="array" ref="L23">IFS(B23="","",F23="","10%",F23="※","8%")</f>
        <v/>
      </c>
      <c r="M23" s="36" t="str">
        <f t="shared" si="1"/>
        <v/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30"/>
      <c r="C24" s="24"/>
      <c r="D24" s="24"/>
      <c r="E24" s="25"/>
      <c r="F24" s="31"/>
      <c r="G24" s="25"/>
      <c r="H24" s="32"/>
      <c r="I24" s="33"/>
      <c r="J24" s="34"/>
      <c r="K24" s="25"/>
      <c r="L24" s="35" t="str">
        <f t="array" ref="L24">IFS(B24="","",F24="","10%",F24="※","8%")</f>
        <v/>
      </c>
      <c r="M24" s="36" t="str">
        <f t="shared" si="1"/>
        <v/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30"/>
      <c r="C25" s="24"/>
      <c r="D25" s="24"/>
      <c r="E25" s="25"/>
      <c r="F25" s="31"/>
      <c r="G25" s="25"/>
      <c r="H25" s="32"/>
      <c r="I25" s="33"/>
      <c r="J25" s="34"/>
      <c r="K25" s="25"/>
      <c r="L25" s="35" t="str">
        <f t="array" ref="L25">IFS(B25="","",F25="","10%",F25="※","8%")</f>
        <v/>
      </c>
      <c r="M25" s="36" t="str">
        <f t="shared" si="1"/>
        <v/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30"/>
      <c r="C26" s="24"/>
      <c r="D26" s="24"/>
      <c r="E26" s="25"/>
      <c r="F26" s="31"/>
      <c r="G26" s="25"/>
      <c r="H26" s="32"/>
      <c r="I26" s="33"/>
      <c r="J26" s="34"/>
      <c r="K26" s="25"/>
      <c r="L26" s="35" t="str">
        <f t="array" ref="L26">IFS(B26="","",F26="","10%",F26="※","8%")</f>
        <v/>
      </c>
      <c r="M26" s="36" t="str">
        <f t="shared" si="1"/>
        <v/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30"/>
      <c r="C27" s="24"/>
      <c r="D27" s="24"/>
      <c r="E27" s="25"/>
      <c r="F27" s="31"/>
      <c r="G27" s="25"/>
      <c r="H27" s="32"/>
      <c r="I27" s="33"/>
      <c r="J27" s="34"/>
      <c r="K27" s="25"/>
      <c r="L27" s="35" t="str">
        <f t="array" ref="L27">IFS(B27="","",F27="","10%",F27="※","8%")</f>
        <v/>
      </c>
      <c r="M27" s="36" t="str">
        <f t="shared" si="1"/>
        <v/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30"/>
      <c r="C28" s="24"/>
      <c r="D28" s="24"/>
      <c r="E28" s="25"/>
      <c r="F28" s="31"/>
      <c r="G28" s="25"/>
      <c r="H28" s="32"/>
      <c r="I28" s="33"/>
      <c r="J28" s="34"/>
      <c r="K28" s="25"/>
      <c r="L28" s="35" t="str">
        <f t="array" ref="L28">IFS(B28="","",F28="","10%",F28="※","8%")</f>
        <v/>
      </c>
      <c r="M28" s="36" t="str">
        <f t="shared" si="1"/>
        <v/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37" t="s">
        <v>41</v>
      </c>
      <c r="C29" s="1"/>
      <c r="D29" s="1"/>
      <c r="E29" s="1"/>
      <c r="F29" s="1"/>
      <c r="G29" s="1"/>
      <c r="H29" s="1"/>
      <c r="I29" s="1"/>
      <c r="J29" s="1"/>
      <c r="K29" s="1"/>
      <c r="L29" s="38" t="s">
        <v>42</v>
      </c>
      <c r="M29" s="39">
        <f>SUM(M21:M28)</f>
        <v>45000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29" t="s">
        <v>34</v>
      </c>
      <c r="C30" s="23" t="s">
        <v>43</v>
      </c>
      <c r="D30" s="25"/>
      <c r="E30" s="23" t="s">
        <v>44</v>
      </c>
      <c r="F30" s="25"/>
      <c r="G30" s="1"/>
      <c r="H30" s="1"/>
      <c r="I30" s="1"/>
      <c r="J30" s="1"/>
      <c r="K30" s="1"/>
      <c r="L30" s="38" t="s">
        <v>44</v>
      </c>
      <c r="M30" s="39">
        <f>SUM(E31:F32)</f>
        <v>4100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0" t="s">
        <v>45</v>
      </c>
      <c r="C31" s="41">
        <f>SUMIF(L21:L28,10%,M21:M28)</f>
        <v>25000</v>
      </c>
      <c r="D31" s="25"/>
      <c r="E31" s="41">
        <f>ROUND(C31*10%,1)</f>
        <v>2500</v>
      </c>
      <c r="F31" s="25"/>
      <c r="G31" s="1"/>
      <c r="H31" s="1"/>
      <c r="I31" s="1"/>
      <c r="J31" s="1"/>
      <c r="K31" s="1"/>
      <c r="L31" s="38" t="s">
        <v>46</v>
      </c>
      <c r="M31" s="39">
        <f>SUM(M29:M30)</f>
        <v>49100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0" t="s">
        <v>47</v>
      </c>
      <c r="C32" s="41">
        <f>SUMIF(L21:L28,8%,M21:M28)</f>
        <v>20000</v>
      </c>
      <c r="D32" s="25"/>
      <c r="E32" s="41">
        <f>ROUND(C32*8%,1)</f>
        <v>1600</v>
      </c>
      <c r="F32" s="2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42" t="s">
        <v>48</v>
      </c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46"/>
      <c r="M35" s="4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4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4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">
    <mergeCell ref="B2:M2"/>
    <mergeCell ref="D18:G18"/>
    <mergeCell ref="B20:E20"/>
    <mergeCell ref="F20:G20"/>
    <mergeCell ref="J20:K20"/>
    <mergeCell ref="F21:G21"/>
    <mergeCell ref="J21:K21"/>
    <mergeCell ref="B21:E21"/>
    <mergeCell ref="B22:E22"/>
    <mergeCell ref="F22:G22"/>
    <mergeCell ref="J22:K22"/>
    <mergeCell ref="B23:E23"/>
    <mergeCell ref="F23:G23"/>
    <mergeCell ref="J23:K23"/>
    <mergeCell ref="J25:K25"/>
    <mergeCell ref="J26:K26"/>
    <mergeCell ref="J27:K27"/>
    <mergeCell ref="J28:K28"/>
    <mergeCell ref="B24:E24"/>
    <mergeCell ref="F24:G24"/>
    <mergeCell ref="J24:K24"/>
    <mergeCell ref="B25:E25"/>
    <mergeCell ref="F25:G25"/>
    <mergeCell ref="B26:E26"/>
    <mergeCell ref="F26:G26"/>
    <mergeCell ref="C31:D31"/>
    <mergeCell ref="C32:D32"/>
    <mergeCell ref="E32:F32"/>
    <mergeCell ref="B34:B36"/>
    <mergeCell ref="C34:M36"/>
    <mergeCell ref="B27:E27"/>
    <mergeCell ref="F27:G27"/>
    <mergeCell ref="B28:E28"/>
    <mergeCell ref="F28:G28"/>
    <mergeCell ref="C30:D30"/>
    <mergeCell ref="E30:F30"/>
    <mergeCell ref="E31:F31"/>
  </mergeCells>
  <printOptions/>
  <pageMargins bottom="0.75" footer="0.0" header="0.0" left="0.7" right="0.7" top="0.75"/>
  <pageSetup paperSize="9" orientation="portrait"/>
  <drawing r:id="rId1"/>
</worksheet>
</file>